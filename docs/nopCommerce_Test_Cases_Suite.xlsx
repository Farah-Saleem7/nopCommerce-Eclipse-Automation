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908c2dd26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3af10b54e344099"/>
    <x:sheet xmlns:r="http://schemas.openxmlformats.org/officeDocument/2006/relationships" name="Summary" sheetId="2" r:id="R0dc03130479b4258"/>
    <x:sheet xmlns:r="http://schemas.openxmlformats.org/officeDocument/2006/relationships" name="Test Data" sheetId="3" r:id="R4caeef9a5bc841a9"/>
    <x:sheet xmlns:r="http://schemas.openxmlformats.org/officeDocument/2006/relationships" name="RTM" sheetId="4" r:id="R5479bfa52dcb4c17"/>
    <x:sheet xmlns:r="http://schemas.openxmlformats.org/officeDocument/2006/relationships" name="Notes" sheetId="5" r:id="Ra20c7375c12b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22B43"/>
      </x:patternFill>
    </x:fill>
    <x:fill>
      <x:patternFill patternType="solid">
        <x:fgColor rgb="003D35"/>
      </x:patternFill>
    </x:fill>
    <x:fill>
      <x:patternFill patternType="solid">
        <x:fgColor rgb="E0F2F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11bb24dc94d5b" /><Relationship Type="http://schemas.openxmlformats.org/officeDocument/2006/relationships/theme" Target="/xl/theme/theme1.xml" Id="R4d6797b22dc04d24" /><Relationship Type="http://schemas.openxmlformats.org/officeDocument/2006/relationships/sharedStrings" Target="/xl/sharedStrings.xml" Id="R9d7cb5be2f504632" /><Relationship Type="http://schemas.openxmlformats.org/officeDocument/2006/relationships/worksheet" Target="/xl/worksheets/sheet1.xml" Id="Rc3af10b54e344099" /><Relationship Type="http://schemas.openxmlformats.org/officeDocument/2006/relationships/worksheet" Target="/xl/worksheets/sheet2.xml" Id="R0dc03130479b4258" /><Relationship Type="http://schemas.openxmlformats.org/officeDocument/2006/relationships/worksheet" Target="/xl/worksheets/sheet3.xml" Id="R4caeef9a5bc841a9" /><Relationship Type="http://schemas.openxmlformats.org/officeDocument/2006/relationships/worksheet" Target="/xl/worksheets/sheet4.xml" Id="R5479bfa52dcb4c17" /><Relationship Type="http://schemas.openxmlformats.org/officeDocument/2006/relationships/worksheet" Target="/xl/worksheets/sheet5.xml" Id="Ra20c7375c12b4154" /></Relationships>
</file>

<file path=xl/tables/table1.xml><?xml version="1.0" encoding="utf-8"?>
<x:table xmlns:x="http://schemas.openxmlformats.org/spreadsheetml/2006/main" id="1" name="NopCommerceTestCases" displayName="NopCommerceTestCases" ref="A1:K31" headerRowCount="1">
  <x:tableColumns count="11">
    <x:tableColumn id="1" name="TC ID"/>
    <x:tableColumn id="2" name="Module"/>
    <x:tableColumn id="3" name="Scenario / Title"/>
    <x:tableColumn id="4" name="Preconditions"/>
    <x:tableColumn id="5" name="Test Steps"/>
    <x:tableColumn id="6" name="Test Data"/>
    <x:tableColumn id="7" name="Expected Result"/>
    <x:tableColumn id="8" name="Priority"/>
    <x:tableColumn id="9" name="Type"/>
    <x:tableColumn id="10" name="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DataTable" displayName="TestDataTable" ref="A1:C15" headerRowCount="1">
  <x:tableColumns count="3">
    <x:tableColumn id="1" name="Data Key"/>
    <x:tableColumn id="2" name="Value / Example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TMTable" displayName="RTMTable" ref="A1:D9" headerRowCount="1">
  <x:tableColumns count="4">
    <x:tableColumn id="1" name="Requirement ID"/>
    <x:tableColumn id="2" name="Requirement / Workflow"/>
    <x:tableColumn id="3" name="Mapped Test Cases"/>
    <x:tableColumn id="4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NotesTable" displayName="NotesTable" ref="A1:B6" headerRowCount="1">
  <x:tableColumns count="2">
    <x:tableColumn id="1" name="Item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d0d582efe7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a10385a30b43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6e08aab05647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00d0e18d5a416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0" hidden="0" customWidth="1"/>
    <x:col min="5" max="5" width="42" hidden="0" customWidth="1"/>
    <x:col min="6" max="6" width="26" hidden="0" customWidth="1"/>
    <x:col min="7" max="7" width="4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</x:cols>
  <x:sheetData>
    <x:row r="1">
      <x:c r="A1" s="6" t="str">
        <x:v>TC ID</x:v>
      </x:c>
      <x:c r="B1" s="6" t="str">
        <x:v>Module</x:v>
      </x:c>
      <x:c r="C1" s="6" t="str">
        <x:v>Scenario / Title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  <x:c r="I1" s="6" t="str">
        <x:v>Type</x:v>
      </x:c>
      <x:c r="J1" s="6" t="str">
        <x:v>Status</x:v>
      </x:c>
      <x:c r="K1" s="6" t="str">
        <x:v>Notes</x:v>
      </x:c>
    </x:row>
    <x:row r="2">
      <x:c r="A2" s="14" t="str">
        <x:v>TC-001</x:v>
      </x:c>
      <x:c r="B2" s="12" t="str">
        <x:v>Register</x:v>
      </x:c>
      <x:c r="C2" s="12" t="str">
        <x:v>Verify user can open registration page</x:v>
      </x:c>
      <x:c r="D2" s="12" t="str">
        <x:v>User is on Home page</x:v>
      </x:c>
      <x:c r="E2" s="12" t="str">
        <x:v>1. Click Register link
2. Verify Register page is displayed</x:v>
      </x:c>
      <x:c r="F2" s="12" t="str">
        <x:v>URL: https://demo.nopcommerce.com/</x:v>
      </x:c>
      <x:c r="G2" s="12" t="str">
        <x:v>Register page should open with required fields visible</x:v>
      </x:c>
      <x:c r="H2" s="14" t="str">
        <x:v>High</x:v>
      </x:c>
      <x:c r="I2" s="14" t="str">
        <x:v>Positive</x:v>
      </x:c>
      <x:c r="J2" s="14" t="str">
        <x:v>Not Run</x:v>
      </x:c>
      <x:c r="K2" s="12" t="str"/>
    </x:row>
    <x:row r="3">
      <x:c r="A3" s="14" t="str">
        <x:v>TC-002</x:v>
      </x:c>
      <x:c r="B3" s="12" t="str">
        <x:v>Register</x:v>
      </x:c>
      <x:c r="C3" s="12" t="str">
        <x:v>Verify successful registration with valid data</x:v>
      </x:c>
      <x:c r="D3" s="12" t="str">
        <x:v>User is on Register page</x:v>
      </x:c>
      <x:c r="E3" s="12" t="str">
        <x:v>1. Select gender
2. Enter first name, last name, email, password and confirm password
3. Click Register</x:v>
      </x:c>
      <x:c r="F3" s="12" t="str">
        <x:v>Use unique email from Test Data sheet</x:v>
      </x:c>
      <x:c r="G3" s="12" t="str">
        <x:v>User should be registered successfully and success message should appear</x:v>
      </x:c>
      <x:c r="H3" s="14" t="str">
        <x:v>High</x:v>
      </x:c>
      <x:c r="I3" s="14" t="str">
        <x:v>Positive</x:v>
      </x:c>
      <x:c r="J3" s="14" t="str">
        <x:v>Not Run</x:v>
      </x:c>
      <x:c r="K3" s="12" t="str">
        <x:v>Use unique email every run</x:v>
      </x:c>
    </x:row>
    <x:row r="4">
      <x:c r="A4" s="14" t="str">
        <x:v>TC-003</x:v>
      </x:c>
      <x:c r="B4" s="12" t="str">
        <x:v>Register</x:v>
      </x:c>
      <x:c r="C4" s="12" t="str">
        <x:v>Verify registration fails with empty required fields</x:v>
      </x:c>
      <x:c r="D4" s="12" t="str">
        <x:v>User is on Register page</x:v>
      </x:c>
      <x:c r="E4" s="12" t="str">
        <x:v>1. Leave required fields empty
2. Click Register</x:v>
      </x:c>
      <x:c r="F4" s="12" t="str">
        <x:v>Empty fields</x:v>
      </x:c>
      <x:c r="G4" s="12" t="str">
        <x:v>Validation messages should appear for required fields</x:v>
      </x:c>
      <x:c r="H4" s="14" t="str">
        <x:v>High</x:v>
      </x:c>
      <x:c r="I4" s="14" t="str">
        <x:v>Negative</x:v>
      </x:c>
      <x:c r="J4" s="14" t="str">
        <x:v>Not Run</x:v>
      </x:c>
      <x:c r="K4" s="12" t="str"/>
    </x:row>
    <x:row r="5">
      <x:c r="A5" s="14" t="str">
        <x:v>TC-004</x:v>
      </x:c>
      <x:c r="B5" s="12" t="str">
        <x:v>Register</x:v>
      </x:c>
      <x:c r="C5" s="12" t="str">
        <x:v>Verify registration fails with invalid email format</x:v>
      </x:c>
      <x:c r="D5" s="12" t="str">
        <x:v>User is on Register page</x:v>
      </x:c>
      <x:c r="E5" s="12" t="str">
        <x:v>1. Enter invalid email
2. Fill remaining mandatory fields
3. Click Register</x:v>
      </x:c>
      <x:c r="F5" s="12" t="str">
        <x:v>invalid-email</x:v>
      </x:c>
      <x:c r="G5" s="12" t="str">
        <x:v>System should display invalid email validation message</x:v>
      </x:c>
      <x:c r="H5" s="14" t="str">
        <x:v>Medium</x:v>
      </x:c>
      <x:c r="I5" s="14" t="str">
        <x:v>Negative</x:v>
      </x:c>
      <x:c r="J5" s="14" t="str">
        <x:v>Not Run</x:v>
      </x:c>
      <x:c r="K5" s="12" t="str"/>
    </x:row>
    <x:row r="6">
      <x:c r="A6" s="14" t="str">
        <x:v>TC-005</x:v>
      </x:c>
      <x:c r="B6" s="12" t="str">
        <x:v>Login</x:v>
      </x:c>
      <x:c r="C6" s="12" t="str">
        <x:v>Verify successful login with valid credentials</x:v>
      </x:c>
      <x:c r="D6" s="12" t="str">
        <x:v>Registered user exists</x:v>
      </x:c>
      <x:c r="E6" s="12" t="str">
        <x:v>1. Click Log in
2. Enter valid email and password
3. Click Log in</x:v>
      </x:c>
      <x:c r="F6" s="12" t="str">
        <x:v>Valid user from Test Data sheet</x:v>
      </x:c>
      <x:c r="G6" s="12" t="str">
        <x:v>User should login successfully and My account/Logout should be visible</x:v>
      </x:c>
      <x:c r="H6" s="14" t="str">
        <x:v>High</x:v>
      </x:c>
      <x:c r="I6" s="14" t="str">
        <x:v>Positive</x:v>
      </x:c>
      <x:c r="J6" s="14" t="str">
        <x:v>Not Run</x:v>
      </x:c>
      <x:c r="K6" s="12" t="str"/>
    </x:row>
    <x:row r="7">
      <x:c r="A7" s="14" t="str">
        <x:v>TC-006</x:v>
      </x:c>
      <x:c r="B7" s="12" t="str">
        <x:v>Login</x:v>
      </x:c>
      <x:c r="C7" s="12" t="str">
        <x:v>Verify login fails with invalid password</x:v>
      </x:c>
      <x:c r="D7" s="12" t="str">
        <x:v>User is on Login page</x:v>
      </x:c>
      <x:c r="E7" s="12" t="str">
        <x:v>1. Enter valid email
2. Enter invalid password
3. Click Log in</x:v>
      </x:c>
      <x:c r="F7" s="12" t="str">
        <x:v>Wrong password</x:v>
      </x:c>
      <x:c r="G7" s="12" t="str">
        <x:v>Error message should appear and user should remain on login page</x:v>
      </x:c>
      <x:c r="H7" s="14" t="str">
        <x:v>High</x:v>
      </x:c>
      <x:c r="I7" s="14" t="str">
        <x:v>Negative</x:v>
      </x:c>
      <x:c r="J7" s="14" t="str">
        <x:v>Not Run</x:v>
      </x:c>
      <x:c r="K7" s="12" t="str"/>
    </x:row>
    <x:row r="8">
      <x:c r="A8" s="14" t="str">
        <x:v>TC-007</x:v>
      </x:c>
      <x:c r="B8" s="12" t="str">
        <x:v>Login</x:v>
      </x:c>
      <x:c r="C8" s="12" t="str">
        <x:v>Verify logout functionality</x:v>
      </x:c>
      <x:c r="D8" s="12" t="str">
        <x:v>User is logged in</x:v>
      </x:c>
      <x:c r="E8" s="12" t="str">
        <x:v>1. Click Log out</x:v>
      </x:c>
      <x:c r="F8" s="12" t="str">
        <x:v>Logged-in user</x:v>
      </x:c>
      <x:c r="G8" s="12" t="str">
        <x:v>User should be logged out and Log in link should be visible</x:v>
      </x:c>
      <x:c r="H8" s="14" t="str">
        <x:v>High</x:v>
      </x:c>
      <x:c r="I8" s="14" t="str">
        <x:v>Positive</x:v>
      </x:c>
      <x:c r="J8" s="14" t="str">
        <x:v>Not Run</x:v>
      </x:c>
      <x:c r="K8" s="12" t="str"/>
    </x:row>
    <x:row r="9">
      <x:c r="A9" s="14" t="str">
        <x:v>TC-008</x:v>
      </x:c>
      <x:c r="B9" s="12" t="str">
        <x:v>Search</x:v>
      </x:c>
      <x:c r="C9" s="12" t="str">
        <x:v>Verify search returns relevant products</x:v>
      </x:c>
      <x:c r="D9" s="12" t="str">
        <x:v>User is on Home page</x:v>
      </x:c>
      <x:c r="E9" s="12" t="str">
        <x:v>1. Enter product keyword in search box
2. Click Search</x:v>
      </x:c>
      <x:c r="F9" s="12" t="str">
        <x:v>Keyword: laptop</x:v>
      </x:c>
      <x:c r="G9" s="12" t="str">
        <x:v>Search results page should display products related to the keyword</x:v>
      </x:c>
      <x:c r="H9" s="14" t="str">
        <x:v>High</x:v>
      </x:c>
      <x:c r="I9" s="14" t="str">
        <x:v>Positive</x:v>
      </x:c>
      <x:c r="J9" s="14" t="str">
        <x:v>Not Run</x:v>
      </x:c>
      <x:c r="K9" s="12" t="str">
        <x:v>Avoid asserting exact count</x:v>
      </x:c>
    </x:row>
    <x:row r="10">
      <x:c r="A10" s="14" t="str">
        <x:v>TC-009</x:v>
      </x:c>
      <x:c r="B10" s="12" t="str">
        <x:v>Search</x:v>
      </x:c>
      <x:c r="C10" s="12" t="str">
        <x:v>Verify search with no matching keyword</x:v>
      </x:c>
      <x:c r="D10" s="12" t="str">
        <x:v>User is on Home page</x:v>
      </x:c>
      <x:c r="E10" s="12" t="str">
        <x:v>1. Enter random invalid keyword
2. Click Search</x:v>
      </x:c>
      <x:c r="F10" s="12" t="str">
        <x:v>Keyword: xyznotfound123</x:v>
      </x:c>
      <x:c r="G10" s="12" t="str">
        <x:v>No products found message should appear</x:v>
      </x:c>
      <x:c r="H10" s="14" t="str">
        <x:v>Medium</x:v>
      </x:c>
      <x:c r="I10" s="14" t="str">
        <x:v>Negative</x:v>
      </x:c>
      <x:c r="J10" s="14" t="str">
        <x:v>Not Run</x:v>
      </x:c>
      <x:c r="K10" s="12" t="str"/>
    </x:row>
    <x:row r="11">
      <x:c r="A11" s="14" t="str">
        <x:v>TC-010</x:v>
      </x:c>
      <x:c r="B11" s="12" t="str">
        <x:v>Search</x:v>
      </x:c>
      <x:c r="C11" s="12" t="str">
        <x:v>Verify search field validation when empty</x:v>
      </x:c>
      <x:c r="D11" s="12" t="str">
        <x:v>User is on Home page</x:v>
      </x:c>
      <x:c r="E11" s="12" t="str">
        <x:v>1. Leave search box empty
2. Click Search</x:v>
      </x:c>
      <x:c r="F11" s="12" t="str">
        <x:v>Empty search</x:v>
      </x:c>
      <x:c r="G11" s="12" t="str">
        <x:v>System should prevent empty search or show validation message</x:v>
      </x:c>
      <x:c r="H11" s="14" t="str">
        <x:v>Medium</x:v>
      </x:c>
      <x:c r="I11" s="14" t="str">
        <x:v>Negative</x:v>
      </x:c>
      <x:c r="J11" s="14" t="str">
        <x:v>Not Run</x:v>
      </x:c>
      <x:c r="K11" s="12" t="str"/>
    </x:row>
    <x:row r="12">
      <x:c r="A12" s="14" t="str">
        <x:v>TC-011</x:v>
      </x:c>
      <x:c r="B12" s="12" t="str">
        <x:v>Product</x:v>
      </x:c>
      <x:c r="C12" s="12" t="str">
        <x:v>Verify product details page opens</x:v>
      </x:c>
      <x:c r="D12" s="12" t="str">
        <x:v>User is on Home page or category page</x:v>
      </x:c>
      <x:c r="E12" s="12" t="str">
        <x:v>1. Click any product title/image</x:v>
      </x:c>
      <x:c r="F12" s="12" t="str">
        <x:v>Product: Apple MacBook Pro or any visible product</x:v>
      </x:c>
      <x:c r="G12" s="12" t="str">
        <x:v>Product details page should open and show name, price, quantity and Add to cart button</x:v>
      </x:c>
      <x:c r="H12" s="14" t="str">
        <x:v>High</x:v>
      </x:c>
      <x:c r="I12" s="14" t="str">
        <x:v>Positive</x:v>
      </x:c>
      <x:c r="J12" s="14" t="str">
        <x:v>Not Run</x:v>
      </x:c>
      <x:c r="K12" s="12" t="str">
        <x:v>Use visible product locator</x:v>
      </x:c>
    </x:row>
    <x:row r="13">
      <x:c r="A13" s="14" t="str">
        <x:v>TC-012</x:v>
      </x:c>
      <x:c r="B13" s="12" t="str">
        <x:v>Product</x:v>
      </x:c>
      <x:c r="C13" s="12" t="str">
        <x:v>Verify sorting products by price low to high</x:v>
      </x:c>
      <x:c r="D13" s="12" t="str">
        <x:v>User is on category/search results page</x:v>
      </x:c>
      <x:c r="E13" s="12" t="str">
        <x:v>1. Select Sort by Price: Low to High</x:v>
      </x:c>
      <x:c r="F13" s="12" t="str">
        <x:v>Category: Computers or Search results</x:v>
      </x:c>
      <x:c r="G13" s="12" t="str">
        <x:v>Products should be sorted by price ascending</x:v>
      </x:c>
      <x:c r="H13" s="14" t="str">
        <x:v>Medium</x:v>
      </x:c>
      <x:c r="I13" s="14" t="str">
        <x:v>Positive</x:v>
      </x:c>
      <x:c r="J13" s="14" t="str">
        <x:v>Not Run</x:v>
      </x:c>
      <x:c r="K13" s="12" t="str">
        <x:v>Can validate first few prices</x:v>
      </x:c>
    </x:row>
    <x:row r="14">
      <x:c r="A14" s="14" t="str">
        <x:v>TC-013</x:v>
      </x:c>
      <x:c r="B14" s="12" t="str">
        <x:v>Product</x:v>
      </x:c>
      <x:c r="C14" s="12" t="str">
        <x:v>Verify changing display page size</x:v>
      </x:c>
      <x:c r="D14" s="12" t="str">
        <x:v>User is on category/search results page</x:v>
      </x:c>
      <x:c r="E14" s="12" t="str">
        <x:v>1. Select display count from dropdown</x:v>
      </x:c>
      <x:c r="F14" s="12" t="str">
        <x:v>Display: 3 or 6 items</x:v>
      </x:c>
      <x:c r="G14" s="12" t="str">
        <x:v>Number of displayed products should update according to selected value</x:v>
      </x:c>
      <x:c r="H14" s="14" t="str">
        <x:v>Low</x:v>
      </x:c>
      <x:c r="I14" s="14" t="str">
        <x:v>Positive</x:v>
      </x:c>
      <x:c r="J14" s="14" t="str">
        <x:v>Not Run</x:v>
      </x:c>
      <x:c r="K14" s="12" t="str"/>
    </x:row>
    <x:row r="15">
      <x:c r="A15" s="14" t="str">
        <x:v>TC-014</x:v>
      </x:c>
      <x:c r="B15" s="12" t="str">
        <x:v>Cart</x:v>
      </x:c>
      <x:c r="C15" s="12" t="str">
        <x:v>Verify adding product to cart from product page</x:v>
      </x:c>
      <x:c r="D15" s="12" t="str">
        <x:v>Product details page is open</x:v>
      </x:c>
      <x:c r="E15" s="12" t="str">
        <x:v>1. Enter quantity 1
2. Click Add to cart</x:v>
      </x:c>
      <x:c r="F15" s="12" t="str">
        <x:v>Product: Apple MacBook Pro</x:v>
      </x:c>
      <x:c r="G15" s="12" t="str">
        <x:v>Success notification should appear and cart count should increase</x:v>
      </x:c>
      <x:c r="H15" s="14" t="str">
        <x:v>High</x:v>
      </x:c>
      <x:c r="I15" s="14" t="str">
        <x:v>Positive</x:v>
      </x:c>
      <x:c r="J15" s="14" t="str">
        <x:v>Not Run</x:v>
      </x:c>
      <x:c r="K15" s="12" t="str"/>
    </x:row>
    <x:row r="16">
      <x:c r="A16" s="14" t="str">
        <x:v>TC-015</x:v>
      </x:c>
      <x:c r="B16" s="12" t="str">
        <x:v>Cart</x:v>
      </x:c>
      <x:c r="C16" s="12" t="str">
        <x:v>Verify shopping cart page displays added product</x:v>
      </x:c>
      <x:c r="D16" s="12" t="str">
        <x:v>Product was added to cart</x:v>
      </x:c>
      <x:c r="E16" s="12" t="str">
        <x:v>1. Click Shopping cart link</x:v>
      </x:c>
      <x:c r="F16" s="12" t="str">
        <x:v>Added product</x:v>
      </x:c>
      <x:c r="G16" s="12" t="str">
        <x:v>Cart page should display product name, unit price, quantity and subtotal</x:v>
      </x:c>
      <x:c r="H16" s="14" t="str">
        <x:v>High</x:v>
      </x:c>
      <x:c r="I16" s="14" t="str">
        <x:v>Positive</x:v>
      </x:c>
      <x:c r="J16" s="14" t="str">
        <x:v>Not Run</x:v>
      </x:c>
      <x:c r="K16" s="12" t="str"/>
    </x:row>
    <x:row r="17">
      <x:c r="A17" s="14" t="str">
        <x:v>TC-016</x:v>
      </x:c>
      <x:c r="B17" s="12" t="str">
        <x:v>Cart</x:v>
      </x:c>
      <x:c r="C17" s="12" t="str">
        <x:v>Verify updating cart quantity</x:v>
      </x:c>
      <x:c r="D17" s="12" t="str">
        <x:v>Product exists in cart</x:v>
      </x:c>
      <x:c r="E17" s="12" t="str">
        <x:v>1. Change quantity
2. Click Update shopping cart</x:v>
      </x:c>
      <x:c r="F17" s="12" t="str">
        <x:v>Quantity: 2</x:v>
      </x:c>
      <x:c r="G17" s="12" t="str">
        <x:v>Cart quantity and subtotal should update correctly</x:v>
      </x:c>
      <x:c r="H17" s="14" t="str">
        <x:v>High</x:v>
      </x:c>
      <x:c r="I17" s="14" t="str">
        <x:v>Positive</x:v>
      </x:c>
      <x:c r="J17" s="14" t="str">
        <x:v>Not Run</x:v>
      </x:c>
      <x:c r="K17" s="12" t="str"/>
    </x:row>
    <x:row r="18">
      <x:c r="A18" s="14" t="str">
        <x:v>TC-017</x:v>
      </x:c>
      <x:c r="B18" s="12" t="str">
        <x:v>Cart</x:v>
      </x:c>
      <x:c r="C18" s="12" t="str">
        <x:v>Verify removing item from cart</x:v>
      </x:c>
      <x:c r="D18" s="12" t="str">
        <x:v>Product exists in cart</x:v>
      </x:c>
      <x:c r="E18" s="12" t="str">
        <x:v>1. Select remove checkbox or click remove icon
2. Update cart</x:v>
      </x:c>
      <x:c r="F18" s="12" t="str">
        <x:v>Existing cart item</x:v>
      </x:c>
      <x:c r="G18" s="12" t="str">
        <x:v>Item should be removed and cart should show empty message or updated count</x:v>
      </x:c>
      <x:c r="H18" s="14" t="str">
        <x:v>High</x:v>
      </x:c>
      <x:c r="I18" s="14" t="str">
        <x:v>Positive</x:v>
      </x:c>
      <x:c r="J18" s="14" t="str">
        <x:v>Not Run</x:v>
      </x:c>
      <x:c r="K18" s="12" t="str"/>
    </x:row>
    <x:row r="19">
      <x:c r="A19" s="14" t="str">
        <x:v>TC-018</x:v>
      </x:c>
      <x:c r="B19" s="12" t="str">
        <x:v>Wishlist</x:v>
      </x:c>
      <x:c r="C19" s="12" t="str">
        <x:v>Verify adding product to wishlist</x:v>
      </x:c>
      <x:c r="D19" s="12" t="str">
        <x:v>User is on product/category page</x:v>
      </x:c>
      <x:c r="E19" s="12" t="str">
        <x:v>1. Click Add to wishlist</x:v>
      </x:c>
      <x:c r="F19" s="12" t="str">
        <x:v>Visible product</x:v>
      </x:c>
      <x:c r="G19" s="12" t="str">
        <x:v>Success notification should appear and wishlist count should increase</x:v>
      </x:c>
      <x:c r="H19" s="14" t="str">
        <x:v>Medium</x:v>
      </x:c>
      <x:c r="I19" s="14" t="str">
        <x:v>Positive</x:v>
      </x:c>
      <x:c r="J19" s="14" t="str">
        <x:v>Not Run</x:v>
      </x:c>
      <x:c r="K19" s="12" t="str"/>
    </x:row>
    <x:row r="20">
      <x:c r="A20" s="14" t="str">
        <x:v>TC-019</x:v>
      </x:c>
      <x:c r="B20" s="12" t="str">
        <x:v>Wishlist</x:v>
      </x:c>
      <x:c r="C20" s="12" t="str">
        <x:v>Verify wishlist page displays added product</x:v>
      </x:c>
      <x:c r="D20" s="12" t="str">
        <x:v>Product added to wishlist</x:v>
      </x:c>
      <x:c r="E20" s="12" t="str">
        <x:v>1. Click Wishlist link</x:v>
      </x:c>
      <x:c r="F20" s="12" t="str">
        <x:v>Added wishlist product</x:v>
      </x:c>
      <x:c r="G20" s="12" t="str">
        <x:v>Wishlist page should display added product details</x:v>
      </x:c>
      <x:c r="H20" s="14" t="str">
        <x:v>Medium</x:v>
      </x:c>
      <x:c r="I20" s="14" t="str">
        <x:v>Positive</x:v>
      </x:c>
      <x:c r="J20" s="14" t="str">
        <x:v>Not Run</x:v>
      </x:c>
      <x:c r="K20" s="12" t="str"/>
    </x:row>
    <x:row r="21">
      <x:c r="A21" s="14" t="str">
        <x:v>TC-020</x:v>
      </x:c>
      <x:c r="B21" s="12" t="str">
        <x:v>Wishlist</x:v>
      </x:c>
      <x:c r="C21" s="12" t="str">
        <x:v>Verify removing product from wishlist</x:v>
      </x:c>
      <x:c r="D21" s="12" t="str">
        <x:v>Product exists in wishlist</x:v>
      </x:c>
      <x:c r="E21" s="12" t="str">
        <x:v>1. Select remove checkbox/icon
2. Click update wishlist</x:v>
      </x:c>
      <x:c r="F21" s="12" t="str">
        <x:v>Existing wishlist product</x:v>
      </x:c>
      <x:c r="G21" s="12" t="str">
        <x:v>Product should be removed from wishlist</x:v>
      </x:c>
      <x:c r="H21" s="14" t="str">
        <x:v>Medium</x:v>
      </x:c>
      <x:c r="I21" s="14" t="str">
        <x:v>Positive</x:v>
      </x:c>
      <x:c r="J21" s="14" t="str">
        <x:v>Not Run</x:v>
      </x:c>
      <x:c r="K21" s="12" t="str"/>
    </x:row>
    <x:row r="22">
      <x:c r="A22" s="14" t="str">
        <x:v>TC-021</x:v>
      </x:c>
      <x:c r="B22" s="12" t="str">
        <x:v>Compare</x:v>
      </x:c>
      <x:c r="C22" s="12" t="str">
        <x:v>Verify adding product to compare list</x:v>
      </x:c>
      <x:c r="D22" s="12" t="str">
        <x:v>User is on product/category page</x:v>
      </x:c>
      <x:c r="E22" s="12" t="str">
        <x:v>1. Click Add to compare list</x:v>
      </x:c>
      <x:c r="F22" s="12" t="str">
        <x:v>Visible product</x:v>
      </x:c>
      <x:c r="G22" s="12" t="str">
        <x:v>Success notification should appear and compare list should contain the product</x:v>
      </x:c>
      <x:c r="H22" s="14" t="str">
        <x:v>Medium</x:v>
      </x:c>
      <x:c r="I22" s="14" t="str">
        <x:v>Positive</x:v>
      </x:c>
      <x:c r="J22" s="14" t="str">
        <x:v>Not Run</x:v>
      </x:c>
      <x:c r="K22" s="12" t="str"/>
    </x:row>
    <x:row r="23">
      <x:c r="A23" s="14" t="str">
        <x:v>TC-022</x:v>
      </x:c>
      <x:c r="B23" s="12" t="str">
        <x:v>Compare</x:v>
      </x:c>
      <x:c r="C23" s="12" t="str">
        <x:v>Verify clearing compare product list</x:v>
      </x:c>
      <x:c r="D23" s="12" t="str">
        <x:v>At least one product exists in compare list</x:v>
      </x:c>
      <x:c r="E23" s="12" t="str">
        <x:v>1. Open compare products list
2. Click Clear list</x:v>
      </x:c>
      <x:c r="F23" s="12" t="str">
        <x:v>Existing compared product</x:v>
      </x:c>
      <x:c r="G23" s="12" t="str">
        <x:v>Compare list should be cleared successfully</x:v>
      </x:c>
      <x:c r="H23" s="14" t="str">
        <x:v>Low</x:v>
      </x:c>
      <x:c r="I23" s="14" t="str">
        <x:v>Positive</x:v>
      </x:c>
      <x:c r="J23" s="14" t="str">
        <x:v>Not Run</x:v>
      </x:c>
      <x:c r="K23" s="12" t="str"/>
    </x:row>
    <x:row r="24">
      <x:c r="A24" s="14" t="str">
        <x:v>TC-023</x:v>
      </x:c>
      <x:c r="B24" s="12" t="str">
        <x:v>Checkout</x:v>
      </x:c>
      <x:c r="C24" s="12" t="str">
        <x:v>Verify checkout button is disabled/blocked without terms agreement</x:v>
      </x:c>
      <x:c r="D24" s="12" t="str">
        <x:v>Product exists in cart</x:v>
      </x:c>
      <x:c r="E24" s="12" t="str">
        <x:v>1. Go to cart
2. Do not accept terms
3. Click Checkout</x:v>
      </x:c>
      <x:c r="F24" s="12" t="str">
        <x:v>Cart with item</x:v>
      </x:c>
      <x:c r="G24" s="12" t="str">
        <x:v>System should require accepting terms of service</x:v>
      </x:c>
      <x:c r="H24" s="14" t="str">
        <x:v>High</x:v>
      </x:c>
      <x:c r="I24" s="14" t="str">
        <x:v>Negative</x:v>
      </x:c>
      <x:c r="J24" s="14" t="str">
        <x:v>Not Run</x:v>
      </x:c>
      <x:c r="K24" s="12" t="str"/>
    </x:row>
    <x:row r="25">
      <x:c r="A25" s="14" t="str">
        <x:v>TC-024</x:v>
      </x:c>
      <x:c r="B25" s="12" t="str">
        <x:v>Checkout</x:v>
      </x:c>
      <x:c r="C25" s="12" t="str">
        <x:v>Verify guest checkout flow starts successfully</x:v>
      </x:c>
      <x:c r="D25" s="12" t="str">
        <x:v>Product exists in cart</x:v>
      </x:c>
      <x:c r="E25" s="12" t="str">
        <x:v>1. Accept terms
2. Click Checkout
3. Select Checkout as Guest</x:v>
      </x:c>
      <x:c r="F25" s="12" t="str">
        <x:v>Guest user</x:v>
      </x:c>
      <x:c r="G25" s="12" t="str">
        <x:v>Checkout billing address step should be displayed</x:v>
      </x:c>
      <x:c r="H25" s="14" t="str">
        <x:v>High</x:v>
      </x:c>
      <x:c r="I25" s="14" t="str">
        <x:v>Positive</x:v>
      </x:c>
      <x:c r="J25" s="14" t="str">
        <x:v>Not Run</x:v>
      </x:c>
      <x:c r="K25" s="12" t="str">
        <x:v>Some stores may require guest checkout enabled</x:v>
      </x:c>
    </x:row>
    <x:row r="26">
      <x:c r="A26" s="14" t="str">
        <x:v>TC-025</x:v>
      </x:c>
      <x:c r="B26" s="12" t="str">
        <x:v>Checkout</x:v>
      </x:c>
      <x:c r="C26" s="12" t="str">
        <x:v>Verify registered user checkout flow reaches payment step</x:v>
      </x:c>
      <x:c r="D26" s="12" t="str">
        <x:v>Registered user logged in and cart has item</x:v>
      </x:c>
      <x:c r="E26" s="12" t="str">
        <x:v>1. Open cart
2. Accept terms
3. Click checkout
4. Fill billing/shipping as required
5. Continue to payment</x:v>
      </x:c>
      <x:c r="F26" s="12" t="str">
        <x:v>Valid address data from Test Data</x:v>
      </x:c>
      <x:c r="G26" s="12" t="str">
        <x:v>User should reach payment method step successfully</x:v>
      </x:c>
      <x:c r="H26" s="14" t="str">
        <x:v>High</x:v>
      </x:c>
      <x:c r="I26" s="14" t="str">
        <x:v>Positive</x:v>
      </x:c>
      <x:c r="J26" s="14" t="str">
        <x:v>Not Run</x:v>
      </x:c>
      <x:c r="K26" s="12" t="str">
        <x:v>Do not place real paid order</x:v>
      </x:c>
    </x:row>
    <x:row r="27">
      <x:c r="A27" s="14" t="str">
        <x:v>TC-026</x:v>
      </x:c>
      <x:c r="B27" s="12" t="str">
        <x:v>Checkout</x:v>
      </x:c>
      <x:c r="C27" s="12" t="str">
        <x:v>Verify order can be confirmed with default test payment method</x:v>
      </x:c>
      <x:c r="D27" s="12" t="str">
        <x:v>Registered user logged in and checkout data completed</x:v>
      </x:c>
      <x:c r="E27" s="12" t="str">
        <x:v>1. Select available payment method
2. Continue
3. Confirm order</x:v>
      </x:c>
      <x:c r="F27" s="12" t="str">
        <x:v>Default demo payment method</x:v>
      </x:c>
      <x:c r="G27" s="12" t="str">
        <x:v>Order confirmation page/message should appear</x:v>
      </x:c>
      <x:c r="H27" s="14" t="str">
        <x:v>High</x:v>
      </x:c>
      <x:c r="I27" s="14" t="str">
        <x:v>Positive</x:v>
      </x:c>
      <x:c r="J27" s="14" t="str">
        <x:v>Not Run</x:v>
      </x:c>
      <x:c r="K27" s="12" t="str">
        <x:v>Only if demo allows completion</x:v>
      </x:c>
    </x:row>
    <x:row r="28">
      <x:c r="A28" s="14" t="str">
        <x:v>TC-027</x:v>
      </x:c>
      <x:c r="B28" s="12" t="str">
        <x:v>Contact Us</x:v>
      </x:c>
      <x:c r="C28" s="12" t="str">
        <x:v>Verify contact us form submission with valid data</x:v>
      </x:c>
      <x:c r="D28" s="12" t="str">
        <x:v>User is on Contact Us page</x:v>
      </x:c>
      <x:c r="E28" s="12" t="str">
        <x:v>1. Enter full name, email and enquiry
2. Click Submit</x:v>
      </x:c>
      <x:c r="F28" s="12" t="str">
        <x:v>Valid contact data</x:v>
      </x:c>
      <x:c r="G28" s="12" t="str">
        <x:v>Success message should appear</x:v>
      </x:c>
      <x:c r="H28" s="14" t="str">
        <x:v>Medium</x:v>
      </x:c>
      <x:c r="I28" s="14" t="str">
        <x:v>Positive</x:v>
      </x:c>
      <x:c r="J28" s="14" t="str">
        <x:v>Not Run</x:v>
      </x:c>
      <x:c r="K28" s="12" t="str"/>
    </x:row>
    <x:row r="29">
      <x:c r="A29" s="14" t="str">
        <x:v>TC-028</x:v>
      </x:c>
      <x:c r="B29" s="12" t="str">
        <x:v>Contact Us</x:v>
      </x:c>
      <x:c r="C29" s="12" t="str">
        <x:v>Verify contact us validation with empty enquiry</x:v>
      </x:c>
      <x:c r="D29" s="12" t="str">
        <x:v>User is on Contact Us page</x:v>
      </x:c>
      <x:c r="E29" s="12" t="str">
        <x:v>1. Leave enquiry empty
2. Click Submit</x:v>
      </x:c>
      <x:c r="F29" s="12" t="str">
        <x:v>Empty enquiry</x:v>
      </x:c>
      <x:c r="G29" s="12" t="str">
        <x:v>Validation message should appear</x:v>
      </x:c>
      <x:c r="H29" s="14" t="str">
        <x:v>Medium</x:v>
      </x:c>
      <x:c r="I29" s="14" t="str">
        <x:v>Negative</x:v>
      </x:c>
      <x:c r="J29" s="14" t="str">
        <x:v>Not Run</x:v>
      </x:c>
      <x:c r="K29" s="12" t="str"/>
    </x:row>
    <x:row r="30">
      <x:c r="A30" s="14" t="str">
        <x:v>TC-029</x:v>
      </x:c>
      <x:c r="B30" s="12" t="str">
        <x:v>Newsletter</x:v>
      </x:c>
      <x:c r="C30" s="12" t="str">
        <x:v>Verify newsletter subscription with valid email</x:v>
      </x:c>
      <x:c r="D30" s="12" t="str">
        <x:v>User is on Home page footer</x:v>
      </x:c>
      <x:c r="E30" s="12" t="str">
        <x:v>1. Enter valid email
2. Click Subscribe</x:v>
      </x:c>
      <x:c r="F30" s="12" t="str">
        <x:v>Unique valid email</x:v>
      </x:c>
      <x:c r="G30" s="12" t="str">
        <x:v>Newsletter subscription message should appear</x:v>
      </x:c>
      <x:c r="H30" s="14" t="str">
        <x:v>Low</x:v>
      </x:c>
      <x:c r="I30" s="14" t="str">
        <x:v>Positive</x:v>
      </x:c>
      <x:c r="J30" s="14" t="str">
        <x:v>Not Run</x:v>
      </x:c>
      <x:c r="K30" s="12" t="str"/>
    </x:row>
    <x:row r="31">
      <x:c r="A31" s="14" t="str">
        <x:v>TC-030</x:v>
      </x:c>
      <x:c r="B31" s="12" t="str">
        <x:v>Newsletter</x:v>
      </x:c>
      <x:c r="C31" s="12" t="str">
        <x:v>Verify newsletter subscription with invalid email</x:v>
      </x:c>
      <x:c r="D31" s="12" t="str">
        <x:v>User is on Home page footer</x:v>
      </x:c>
      <x:c r="E31" s="12" t="str">
        <x:v>1. Enter invalid email
2. Click Subscribe</x:v>
      </x:c>
      <x:c r="F31" s="12" t="str">
        <x:v>abc</x:v>
      </x:c>
      <x:c r="G31" s="12" t="str">
        <x:v>Invalid email validation should appear</x:v>
      </x:c>
      <x:c r="H31" s="14" t="str">
        <x:v>Low</x:v>
      </x:c>
      <x:c r="I31" s="14" t="str">
        <x:v>Negative</x:v>
      </x:c>
      <x:c r="J31" s="14" t="str">
        <x:v>Not Run</x:v>
      </x:c>
      <x:c r="K31" s="12" t="str"/>
    </x:row>
  </x:sheetData>
  <x:conditionalFormatting sqref="J2:J31">
    <x:cfRule type="expression" dxfId="0" priority="1">
      <x:formula>J2="Pass"</x:formula>
    </x:cfRule>
    <x:cfRule type="expression" dxfId="1" priority="2">
      <x:formula>J2="Fail"</x:formula>
    </x:cfRule>
    <x:cfRule type="expression" dxfId="2" priority="3">
      <x:formula>J2="Blocked"</x:formula>
    </x:cfRule>
  </x:conditionalFormatting>
  <x:dataValidations count="3">
    <x:dataValidation type="list" sqref="H2:H31">
      <x:formula1>"High,Medium,Low"</x:formula1>
    </x:dataValidation>
    <x:dataValidation type="list" sqref="I2:I31">
      <x:formula1>"Positive,Negative"</x:formula1>
    </x:dataValidation>
    <x:dataValidation type="list" sqref="J2:J31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0d582efe743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nopCommerce Demo Store - QA Test Case Suite</x:v>
      </x:c>
    </x:row>
    <x:row r="3">
      <x:c r="A3" s="23" t="str">
        <x:v>Project URL</x:v>
      </x:c>
      <x:c r="B3" s="12" t="str">
        <x:v>https://demo.nopcommerce.com/</x:v>
      </x:c>
      <x:c r="C3" s="23" t="str">
        <x:v>Source</x:v>
      </x:c>
      <x:c r="D3" s="12" t="str">
        <x:v>Official demo store</x:v>
      </x:c>
      <x:c r="E3" s="23" t="str">
        <x:v>Created</x:v>
      </x:c>
      <x:c r="F3" s="12" t="str">
        <x:v>2026-06-03</x:v>
      </x:c>
    </x:row>
    <x:row r="4">
      <x:c r="A4" s="23" t="str">
        <x:v>Total Test Cases</x:v>
      </x:c>
      <x:c r="B4" s="12" t="n">
        <x:f>COUNTA('Test Cases'!A2:A31)</x:f>
        <x:v>30</x:v>
      </x:c>
      <x:c r="C4" s="23" t="str">
        <x:v>High</x:v>
      </x:c>
      <x:c r="D4" s="12" t="n">
        <x:f>COUNTIF('Test Cases'!H2:H31,"High")</x:f>
        <x:v>16</x:v>
      </x:c>
      <x:c r="E4" s="23" t="str">
        <x:v>Medium</x:v>
      </x:c>
      <x:c r="F4" s="12" t="n">
        <x:f>COUNTIF('Test Cases'!H2:H31,"Medium")</x:f>
        <x:v>10</x:v>
      </x:c>
    </x:row>
    <x:row r="5">
      <x:c r="A5" s="23" t="str">
        <x:v>Positive</x:v>
      </x:c>
      <x:c r="B5" s="12" t="n">
        <x:f>COUNTIF('Test Cases'!I2:I31,"Positive")</x:f>
        <x:v>22</x:v>
      </x:c>
      <x:c r="C5" s="23" t="str">
        <x:v>Negative</x:v>
      </x:c>
      <x:c r="D5" s="12" t="n">
        <x:f>COUNTIF('Test Cases'!I2:I31,"Negative")</x:f>
        <x:v>8</x:v>
      </x:c>
      <x:c r="E5" s="23" t="str">
        <x:v>Low</x:v>
      </x:c>
      <x:c r="F5" s="12" t="n">
        <x:f>COUNTIF('Test Cases'!H2:H31,"Low")</x:f>
        <x:v>4</x:v>
      </x:c>
    </x:row>
    <x:row r="6">
      <x:c r="A6" s="23" t="str">
        <x:v>Pass</x:v>
      </x:c>
      <x:c r="B6" s="12" t="n">
        <x:f>COUNTIF('Test Cases'!J2:J31,"Pass")</x:f>
        <x:v>0</x:v>
      </x:c>
      <x:c r="C6" s="23" t="str">
        <x:v>Fail</x:v>
      </x:c>
      <x:c r="D6" s="12" t="n">
        <x:f>COUNTIF('Test Cases'!J2:J31,"Fail")</x:f>
        <x:v>0</x:v>
      </x:c>
      <x:c r="E6" s="23" t="str">
        <x:v>Blocked</x:v>
      </x:c>
      <x:c r="F6" s="12" t="n">
        <x:f>COUNTIF('Test Cases'!J2:J31,"Blocked")</x:f>
        <x:v>0</x:v>
      </x:c>
    </x:row>
    <x:row r="7">
      <x:c r="A7" s="23" t="str">
        <x:v>Not Run</x:v>
      </x:c>
      <x:c r="B7" s="12" t="n">
        <x:f>COUNTIF('Test Cases'!J2:J31,"Not Run")</x:f>
        <x:v>30</x:v>
      </x:c>
      <x:c r="C7" s="23" t="str">
        <x:v>Pass Rate</x:v>
      </x:c>
      <x:c r="D7" s="26" t="n">
        <x:f>IF(B2=0,0,B4/B2)</x:f>
        <x:v>0</x:v>
      </x:c>
      <x:c r="E7" s="23" t="str">
        <x:v>Scope</x:v>
      </x:c>
      <x:c r="F7" s="12" t="str">
        <x:v>Automation-ready functional tests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Data Key</x:v>
      </x:c>
      <x:c r="B1" s="5" t="str">
        <x:v>Value / Example</x:v>
      </x:c>
      <x:c r="C1" s="5" t="str">
        <x:v>Notes</x:v>
      </x:c>
    </x:row>
    <x:row r="2">
      <x:c r="A2" s="12" t="str">
        <x:v>Base URL</x:v>
      </x:c>
      <x:c r="B2" s="12" t="str">
        <x:v>https://demo.nopcommerce.com/</x:v>
      </x:c>
      <x:c r="C2" s="12" t="str">
        <x:v>Use without utm_source for clean automation</x:v>
      </x:c>
    </x:row>
    <x:row r="3">
      <x:c r="A3" s="12" t="str">
        <x:v>Unique Email Pattern</x:v>
      </x:c>
      <x:c r="B3" s="12" t="str">
        <x:v>qa.nopcommerce.{timestamp}@example.com</x:v>
      </x:c>
      <x:c r="C3" s="12" t="str">
        <x:v>Generate timestamp at runtime</x:v>
      </x:c>
    </x:row>
    <x:row r="4">
      <x:c r="A4" s="12" t="str">
        <x:v>Password</x:v>
      </x:c>
      <x:c r="B4" s="12" t="str">
        <x:v>Test@12345</x:v>
      </x:c>
      <x:c r="C4" s="12" t="str">
        <x:v>For demo accounts only</x:v>
      </x:c>
    </x:row>
    <x:row r="5">
      <x:c r="A5" s="12" t="str">
        <x:v>Search Keyword Valid</x:v>
      </x:c>
      <x:c r="B5" s="12" t="str">
        <x:v>laptop</x:v>
      </x:c>
      <x:c r="C5" s="12" t="str">
        <x:v>Expected relevant results</x:v>
      </x:c>
    </x:row>
    <x:row r="6">
      <x:c r="A6" s="12" t="str">
        <x:v>Search Keyword Invalid</x:v>
      </x:c>
      <x:c r="B6" s="12" t="str">
        <x:v>xyznotfound123</x:v>
      </x:c>
      <x:c r="C6" s="12" t="str">
        <x:v>Expected no results</x:v>
      </x:c>
    </x:row>
    <x:row r="7">
      <x:c r="A7" s="12" t="str">
        <x:v>First Name</x:v>
      </x:c>
      <x:c r="B7" s="12" t="str">
        <x:v>Mohammed</x:v>
      </x:c>
      <x:c r="C7" s="12" t="str">
        <x:v>Sample</x:v>
      </x:c>
    </x:row>
    <x:row r="8">
      <x:c r="A8" s="12" t="str">
        <x:v>Last Name</x:v>
      </x:c>
      <x:c r="B8" s="12" t="str">
        <x:v>QA</x:v>
      </x:c>
      <x:c r="C8" s="12" t="str">
        <x:v>Sample</x:v>
      </x:c>
    </x:row>
    <x:row r="9">
      <x:c r="A9" s="12" t="str">
        <x:v>Country</x:v>
      </x:c>
      <x:c r="B9" s="12" t="str">
        <x:v>United States</x:v>
      </x:c>
      <x:c r="C9" s="12" t="str">
        <x:v>Use available dropdown option</x:v>
      </x:c>
    </x:row>
    <x:row r="10">
      <x:c r="A10" s="12" t="str">
        <x:v>City</x:v>
      </x:c>
      <x:c r="B10" s="12" t="str">
        <x:v>Gaza</x:v>
      </x:c>
      <x:c r="C10" s="12" t="str">
        <x:v>Sample city value</x:v>
      </x:c>
    </x:row>
    <x:row r="11">
      <x:c r="A11" s="12" t="str">
        <x:v>Address</x:v>
      </x:c>
      <x:c r="B11" s="12" t="str">
        <x:v>Al Nasr Street</x:v>
      </x:c>
      <x:c r="C11" s="12" t="str">
        <x:v>Sample address</x:v>
      </x:c>
    </x:row>
    <x:row r="12">
      <x:c r="A12" s="12" t="str">
        <x:v>Zip Code</x:v>
      </x:c>
      <x:c r="B12" s="12" t="str">
        <x:v>00970</x:v>
      </x:c>
      <x:c r="C12" s="12" t="str">
        <x:v>Sample postal code</x:v>
      </x:c>
    </x:row>
    <x:row r="13">
      <x:c r="A13" s="12" t="str">
        <x:v>Phone</x:v>
      </x:c>
      <x:c r="B13" s="12" t="str">
        <x:v>0598890011</x:v>
      </x:c>
      <x:c r="C13" s="12" t="str">
        <x:v>Sample phone</x:v>
      </x:c>
    </x:row>
    <x:row r="14">
      <x:c r="A14" s="12" t="str">
        <x:v>Product Candidate</x:v>
      </x:c>
      <x:c r="B14" s="12" t="str">
        <x:v>Apple MacBook Pro</x:v>
      </x:c>
      <x:c r="C14" s="12" t="str">
        <x:v>Featured product visible on home page at time of preparation</x:v>
      </x:c>
    </x:row>
    <x:row r="15">
      <x:c r="A15" s="12" t="str">
        <x:v>Alternative Product</x:v>
      </x:c>
      <x:c r="B15" s="12" t="str">
        <x:v>HTC smartphone</x:v>
      </x:c>
      <x:c r="C15" s="12" t="str">
        <x:v>Featured product 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8fa10385a30b43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5" t="str">
        <x:v>Requirement ID</x:v>
      </x:c>
      <x:c r="B1" s="5" t="str">
        <x:v>Requirement / Workflow</x:v>
      </x:c>
      <x:c r="C1" s="5" t="str">
        <x:v>Mapped Test Cases</x:v>
      </x:c>
      <x:c r="D1" s="5" t="str">
        <x:v>Priority</x:v>
      </x:c>
    </x:row>
    <x:row r="2">
      <x:c r="A2" s="12" t="str">
        <x:v>REQ-001</x:v>
      </x:c>
      <x:c r="B2" s="12" t="str">
        <x:v>User registration and validation</x:v>
      </x:c>
      <x:c r="C2" s="12" t="str">
        <x:v>TC-001, TC-002, TC-003, TC-004</x:v>
      </x:c>
      <x:c r="D2" s="12" t="str">
        <x:v>High</x:v>
      </x:c>
    </x:row>
    <x:row r="3">
      <x:c r="A3" s="12" t="str">
        <x:v>REQ-002</x:v>
      </x:c>
      <x:c r="B3" s="12" t="str">
        <x:v>Authentication login/logout</x:v>
      </x:c>
      <x:c r="C3" s="12" t="str">
        <x:v>TC-005, TC-006, TC-007</x:v>
      </x:c>
      <x:c r="D3" s="12" t="str">
        <x:v>High</x:v>
      </x:c>
    </x:row>
    <x:row r="4">
      <x:c r="A4" s="12" t="str">
        <x:v>REQ-003</x:v>
      </x:c>
      <x:c r="B4" s="12" t="str">
        <x:v>Product search and catalog browsing</x:v>
      </x:c>
      <x:c r="C4" s="12" t="str">
        <x:v>TC-008, TC-009, TC-010, TC-011, TC-012, TC-013</x:v>
      </x:c>
      <x:c r="D4" s="12" t="str">
        <x:v>High</x:v>
      </x:c>
    </x:row>
    <x:row r="5">
      <x:c r="A5" s="12" t="str">
        <x:v>REQ-004</x:v>
      </x:c>
      <x:c r="B5" s="12" t="str">
        <x:v>Shopping cart management</x:v>
      </x:c>
      <x:c r="C5" s="12" t="str">
        <x:v>TC-014, TC-015, TC-016, TC-017</x:v>
      </x:c>
      <x:c r="D5" s="12" t="str">
        <x:v>High</x:v>
      </x:c>
    </x:row>
    <x:row r="6">
      <x:c r="A6" s="12" t="str">
        <x:v>REQ-005</x:v>
      </x:c>
      <x:c r="B6" s="12" t="str">
        <x:v>Wishlist functionality</x:v>
      </x:c>
      <x:c r="C6" s="12" t="str">
        <x:v>TC-018, TC-019, TC-020</x:v>
      </x:c>
      <x:c r="D6" s="12" t="str">
        <x:v>Medium</x:v>
      </x:c>
    </x:row>
    <x:row r="7">
      <x:c r="A7" s="12" t="str">
        <x:v>REQ-006</x:v>
      </x:c>
      <x:c r="B7" s="12" t="str">
        <x:v>Product comparison</x:v>
      </x:c>
      <x:c r="C7" s="12" t="str">
        <x:v>TC-021, TC-022</x:v>
      </x:c>
      <x:c r="D7" s="12" t="str">
        <x:v>Medium</x:v>
      </x:c>
    </x:row>
    <x:row r="8">
      <x:c r="A8" s="12" t="str">
        <x:v>REQ-007</x:v>
      </x:c>
      <x:c r="B8" s="12" t="str">
        <x:v>Checkout workflow</x:v>
      </x:c>
      <x:c r="C8" s="12" t="str">
        <x:v>TC-023, TC-024, TC-025, TC-026</x:v>
      </x:c>
      <x:c r="D8" s="12" t="str">
        <x:v>High</x:v>
      </x:c>
    </x:row>
    <x:row r="9">
      <x:c r="A9" s="12" t="str">
        <x:v>REQ-008</x:v>
      </x:c>
      <x:c r="B9" s="12" t="str">
        <x:v>Customer service and marketing forms</x:v>
      </x:c>
      <x:c r="C9" s="12" t="str">
        <x:v>TC-027, TC-028, TC-029, TC-030</x:v>
      </x:c>
      <x:c r="D9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4d6e08aab05647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5" t="str">
        <x:v>Item</x:v>
      </x:c>
      <x:c r="B1" s="5" t="str">
        <x:v>Details</x:v>
      </x:c>
    </x:row>
    <x:row r="2">
      <x:c r="A2" s="12" t="str">
        <x:v>Primary site under test</x:v>
      </x:c>
      <x:c r="B2" s="12" t="str">
        <x:v>https://demo.nopcommerce.com/</x:v>
      </x:c>
    </x:row>
    <x:row r="3">
      <x:c r="A3" s="12" t="str">
        <x:v>Official platform source</x:v>
      </x:c>
      <x:c r="B3" s="12" t="str">
        <x:v>https://www.nopcommerce.com/</x:v>
      </x:c>
    </x:row>
    <x:row r="4">
      <x:c r="A4" s="12" t="str">
        <x:v>Public repository/source reference</x:v>
      </x:c>
      <x:c r="B4" s="12" t="str">
        <x:v>https://github.com/nopsolutions/nopcommerce</x:v>
      </x:c>
    </x:row>
    <x:row r="5">
      <x:c r="A5" s="12" t="str">
        <x:v>Assumption</x:v>
      </x:c>
      <x:c r="B5" s="12" t="str">
        <x:v>The suite is designed for demo/portfolio execution. Avoid hard assertions on exact product counts, prices, or order IDs because demo data may change.</x:v>
      </x:c>
    </x:row>
    <x:row r="6">
      <x:c r="A6" s="12" t="str">
        <x:v>Recommended automation stack</x:v>
      </x:c>
      <x:c r="B6" s="12" t="str">
        <x:v>Java + Selenium WebDriver + TestNG + Maven + Page Object Model + Allure/Extent Reports + Screenshot on Failure</x:v>
      </x:c>
    </x:row>
  </x:sheetData>
  <x:pageMargins left="0.7" right="0.7" top="0.75" bottom="0.75" header="0.3" footer="0.3"/>
  <x:tableParts count="1">
    <x:tablePart xmlns:r="http://schemas.openxmlformats.org/officeDocument/2006/relationships" r:id="Rff00d0e18d5a4166"/>
  </x:tableParts>
</x:worksheet>
</file>